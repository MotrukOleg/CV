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Leg\3curs\OSI\Lab4\"/>
    </mc:Choice>
  </mc:AlternateContent>
  <xr:revisionPtr revIDLastSave="0" documentId="13_ncr:1_{62F9B459-DA45-4F16-B008-3D547EA7D759}" xr6:coauthVersionLast="47" xr6:coauthVersionMax="47" xr10:uidLastSave="{00000000-0000-0000-0000-000000000000}"/>
  <bookViews>
    <workbookView xWindow="5676" yWindow="1200" windowWidth="17280" windowHeight="9420" xr2:uid="{1E596FD6-2911-4ECD-83BA-11BEFC56136A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" l="1"/>
  <c r="E35" i="1"/>
  <c r="E34" i="1"/>
  <c r="E33" i="1"/>
  <c r="E32" i="1"/>
  <c r="E31" i="1"/>
  <c r="E30" i="1"/>
  <c r="E29" i="1"/>
  <c r="E28" i="1"/>
  <c r="E27" i="1"/>
  <c r="E26" i="1"/>
  <c r="G24" i="1"/>
  <c r="E15" i="1"/>
  <c r="E16" i="1"/>
  <c r="E17" i="1"/>
  <c r="E18" i="1"/>
  <c r="E19" i="1"/>
  <c r="E20" i="1"/>
  <c r="E21" i="1"/>
  <c r="E22" i="1"/>
  <c r="E23" i="1"/>
  <c r="E14" i="1"/>
  <c r="C36" i="1"/>
  <c r="D36" i="1"/>
  <c r="C24" i="1"/>
  <c r="D24" i="1"/>
  <c r="D12" i="1"/>
  <c r="C12" i="1"/>
  <c r="G12" i="1" s="1"/>
  <c r="E3" i="1"/>
  <c r="E4" i="1"/>
  <c r="E5" i="1"/>
  <c r="E6" i="1"/>
  <c r="E7" i="1"/>
  <c r="E8" i="1"/>
  <c r="E9" i="1"/>
  <c r="E10" i="1"/>
  <c r="E11" i="1"/>
  <c r="E2" i="1"/>
  <c r="E12" i="1" s="1"/>
  <c r="E36" i="1" l="1"/>
  <c r="E24" i="1"/>
</calcChain>
</file>

<file path=xl/sharedStrings.xml><?xml version="1.0" encoding="utf-8"?>
<sst xmlns="http://schemas.openxmlformats.org/spreadsheetml/2006/main" count="11" uniqueCount="10">
  <si>
    <t>Commit</t>
  </si>
  <si>
    <t>initial Detecrio</t>
  </si>
  <si>
    <t>Video</t>
  </si>
  <si>
    <t>myPredict</t>
  </si>
  <si>
    <t>truePredict</t>
  </si>
  <si>
    <t>Difference</t>
  </si>
  <si>
    <t>Sum</t>
  </si>
  <si>
    <t>Sum(MyPredict) /  Sum(truePredict)</t>
  </si>
  <si>
    <t>added parameter tuning</t>
  </si>
  <si>
    <t>global map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</si>
</sst>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B89C-8FBE-4571-B251-26113691B065}">
  <dimension ref="A1:G36"/>
  <sheetViews>
    <sheetView tabSelected="1" topLeftCell="A21" zoomScale="87" workbookViewId="0">
      <selection activeCell="G24" sqref="G24"/>
    </sheetView>
  </sheetViews>
  <sheetFormatPr defaultRowHeight="14.4" x14ac:dyDescent="0.3"/>
  <cols>
    <col min="1" max="1" width="29" customWidth="1"/>
    <col min="4" max="4" width="11.6640625" customWidth="1"/>
    <col min="7" max="7" width="31.44140625" customWidth="1"/>
    <col min="8" max="8" width="30.44140625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G1" t="s">
        <v>7</v>
      </c>
    </row>
    <row r="2" spans="1:7" x14ac:dyDescent="0.3">
      <c r="A2" t="s">
        <v>1</v>
      </c>
      <c r="B2">
        <v>0</v>
      </c>
      <c r="C2">
        <v>17</v>
      </c>
      <c r="D2">
        <v>11</v>
      </c>
      <c r="E2">
        <f>C2-D2</f>
        <v>6</v>
      </c>
    </row>
    <row r="3" spans="1:7" x14ac:dyDescent="0.3">
      <c r="B3">
        <v>1</v>
      </c>
      <c r="C3">
        <v>33</v>
      </c>
      <c r="D3">
        <v>16</v>
      </c>
      <c r="E3">
        <f t="shared" ref="E3:E11" si="0">C3-D3</f>
        <v>17</v>
      </c>
    </row>
    <row r="4" spans="1:7" x14ac:dyDescent="0.3">
      <c r="B4">
        <v>2</v>
      </c>
      <c r="C4">
        <v>17</v>
      </c>
      <c r="D4">
        <v>16</v>
      </c>
      <c r="E4">
        <f t="shared" si="0"/>
        <v>1</v>
      </c>
    </row>
    <row r="5" spans="1:7" x14ac:dyDescent="0.3">
      <c r="B5">
        <v>3</v>
      </c>
      <c r="C5">
        <v>22</v>
      </c>
      <c r="D5">
        <v>11</v>
      </c>
      <c r="E5">
        <f t="shared" si="0"/>
        <v>11</v>
      </c>
    </row>
    <row r="6" spans="1:7" x14ac:dyDescent="0.3">
      <c r="B6">
        <v>4</v>
      </c>
      <c r="C6">
        <v>26</v>
      </c>
      <c r="D6">
        <v>15</v>
      </c>
      <c r="E6">
        <f t="shared" si="0"/>
        <v>11</v>
      </c>
    </row>
    <row r="7" spans="1:7" x14ac:dyDescent="0.3">
      <c r="B7">
        <v>5</v>
      </c>
      <c r="C7">
        <v>23</v>
      </c>
      <c r="D7">
        <v>19</v>
      </c>
      <c r="E7">
        <f t="shared" si="0"/>
        <v>4</v>
      </c>
    </row>
    <row r="8" spans="1:7" x14ac:dyDescent="0.3">
      <c r="B8">
        <v>6</v>
      </c>
      <c r="C8">
        <v>49</v>
      </c>
      <c r="D8">
        <v>28</v>
      </c>
      <c r="E8">
        <f t="shared" si="0"/>
        <v>21</v>
      </c>
    </row>
    <row r="9" spans="1:7" x14ac:dyDescent="0.3">
      <c r="B9">
        <v>7</v>
      </c>
      <c r="C9">
        <v>43</v>
      </c>
      <c r="D9">
        <v>33</v>
      </c>
      <c r="E9">
        <f t="shared" si="0"/>
        <v>10</v>
      </c>
    </row>
    <row r="10" spans="1:7" x14ac:dyDescent="0.3">
      <c r="B10">
        <v>8</v>
      </c>
      <c r="C10">
        <v>55</v>
      </c>
      <c r="D10">
        <v>33</v>
      </c>
      <c r="E10">
        <f t="shared" si="0"/>
        <v>22</v>
      </c>
    </row>
    <row r="11" spans="1:7" x14ac:dyDescent="0.3">
      <c r="B11">
        <v>9</v>
      </c>
      <c r="C11">
        <v>60</v>
      </c>
      <c r="D11">
        <v>33</v>
      </c>
      <c r="E11">
        <f t="shared" si="0"/>
        <v>27</v>
      </c>
    </row>
    <row r="12" spans="1:7" x14ac:dyDescent="0.3">
      <c r="A12" t="s">
        <v>6</v>
      </c>
      <c r="C12">
        <f>SUM(C2:C11)</f>
        <v>345</v>
      </c>
      <c r="D12">
        <f t="shared" ref="D12:E12" si="1">SUM(D2:D11)</f>
        <v>215</v>
      </c>
      <c r="E12">
        <f t="shared" si="1"/>
        <v>130</v>
      </c>
      <c r="G12">
        <f>C12/D12</f>
        <v>1.6046511627906976</v>
      </c>
    </row>
    <row r="14" spans="1:7" x14ac:dyDescent="0.3">
      <c r="A14" t="s">
        <v>8</v>
      </c>
      <c r="B14">
        <v>0</v>
      </c>
      <c r="C14">
        <v>12</v>
      </c>
      <c r="D14">
        <v>11</v>
      </c>
      <c r="E14">
        <f>ABS(C14-D14)</f>
        <v>1</v>
      </c>
    </row>
    <row r="15" spans="1:7" x14ac:dyDescent="0.3">
      <c r="B15">
        <v>1</v>
      </c>
      <c r="C15">
        <v>12</v>
      </c>
      <c r="D15">
        <v>16</v>
      </c>
      <c r="E15">
        <f t="shared" ref="E15:E23" si="2">ABS(C15-D15)</f>
        <v>4</v>
      </c>
    </row>
    <row r="16" spans="1:7" x14ac:dyDescent="0.3">
      <c r="B16">
        <v>2</v>
      </c>
      <c r="C16">
        <v>14</v>
      </c>
      <c r="D16">
        <v>16</v>
      </c>
      <c r="E16">
        <f t="shared" si="2"/>
        <v>2</v>
      </c>
    </row>
    <row r="17" spans="1:7" x14ac:dyDescent="0.3">
      <c r="B17">
        <v>3</v>
      </c>
      <c r="C17">
        <v>10</v>
      </c>
      <c r="D17">
        <v>11</v>
      </c>
      <c r="E17">
        <f t="shared" si="2"/>
        <v>1</v>
      </c>
    </row>
    <row r="18" spans="1:7" x14ac:dyDescent="0.3">
      <c r="B18">
        <v>4</v>
      </c>
      <c r="C18">
        <v>11</v>
      </c>
      <c r="D18">
        <v>15</v>
      </c>
      <c r="E18">
        <f t="shared" si="2"/>
        <v>4</v>
      </c>
    </row>
    <row r="19" spans="1:7" x14ac:dyDescent="0.3">
      <c r="B19">
        <v>5</v>
      </c>
      <c r="C19">
        <v>21</v>
      </c>
      <c r="D19">
        <v>19</v>
      </c>
      <c r="E19">
        <f t="shared" si="2"/>
        <v>2</v>
      </c>
    </row>
    <row r="20" spans="1:7" x14ac:dyDescent="0.3">
      <c r="B20">
        <v>6</v>
      </c>
      <c r="C20">
        <v>18</v>
      </c>
      <c r="D20">
        <v>28</v>
      </c>
      <c r="E20">
        <f t="shared" si="2"/>
        <v>10</v>
      </c>
    </row>
    <row r="21" spans="1:7" x14ac:dyDescent="0.3">
      <c r="B21">
        <v>7</v>
      </c>
      <c r="C21">
        <v>32</v>
      </c>
      <c r="D21">
        <v>33</v>
      </c>
      <c r="E21">
        <f t="shared" si="2"/>
        <v>1</v>
      </c>
    </row>
    <row r="22" spans="1:7" x14ac:dyDescent="0.3">
      <c r="B22">
        <v>8</v>
      </c>
      <c r="C22">
        <v>32</v>
      </c>
      <c r="D22">
        <v>33</v>
      </c>
      <c r="E22">
        <f t="shared" si="2"/>
        <v>1</v>
      </c>
    </row>
    <row r="23" spans="1:7" x14ac:dyDescent="0.3">
      <c r="B23">
        <v>9</v>
      </c>
      <c r="C23">
        <v>28</v>
      </c>
      <c r="D23">
        <v>33</v>
      </c>
      <c r="E23">
        <f t="shared" si="2"/>
        <v>5</v>
      </c>
    </row>
    <row r="24" spans="1:7" x14ac:dyDescent="0.3">
      <c r="A24" t="s">
        <v>6</v>
      </c>
      <c r="C24">
        <f>SUM(C14:C23)</f>
        <v>190</v>
      </c>
      <c r="D24">
        <f t="shared" ref="D24" si="3">SUM(D14:D23)</f>
        <v>215</v>
      </c>
      <c r="E24">
        <f>SUM(E14:E23)</f>
        <v>31</v>
      </c>
      <c r="G24">
        <f>C24/D24</f>
        <v>0.88372093023255816</v>
      </c>
    </row>
    <row r="26" spans="1:7" x14ac:dyDescent="0.3">
      <c r="A26" t="s">
        <v>9</v>
      </c>
      <c r="B26">
        <v>0</v>
      </c>
      <c r="C26">
        <v>11</v>
      </c>
      <c r="D26">
        <v>11</v>
      </c>
      <c r="E26">
        <f>ABS(C26-D26)</f>
        <v>0</v>
      </c>
    </row>
    <row r="27" spans="1:7" x14ac:dyDescent="0.3">
      <c r="B27">
        <v>1</v>
      </c>
      <c r="C27">
        <v>16</v>
      </c>
      <c r="D27">
        <v>16</v>
      </c>
      <c r="E27">
        <f t="shared" ref="E27:E35" si="4">ABS(C27-D27)</f>
        <v>0</v>
      </c>
    </row>
    <row r="28" spans="1:7" x14ac:dyDescent="0.3">
      <c r="B28">
        <v>2</v>
      </c>
      <c r="C28">
        <v>20</v>
      </c>
      <c r="D28">
        <v>16</v>
      </c>
      <c r="E28">
        <f t="shared" si="4"/>
        <v>4</v>
      </c>
    </row>
    <row r="29" spans="1:7" x14ac:dyDescent="0.3">
      <c r="B29">
        <v>3</v>
      </c>
      <c r="C29">
        <v>12</v>
      </c>
      <c r="D29">
        <v>11</v>
      </c>
      <c r="E29">
        <f t="shared" si="4"/>
        <v>1</v>
      </c>
    </row>
    <row r="30" spans="1:7" x14ac:dyDescent="0.3">
      <c r="B30">
        <v>4</v>
      </c>
      <c r="C30">
        <v>15</v>
      </c>
      <c r="D30">
        <v>14</v>
      </c>
      <c r="E30">
        <f t="shared" si="4"/>
        <v>1</v>
      </c>
    </row>
    <row r="31" spans="1:7" x14ac:dyDescent="0.3">
      <c r="B31">
        <v>5</v>
      </c>
      <c r="C31">
        <v>19</v>
      </c>
      <c r="D31">
        <v>19</v>
      </c>
      <c r="E31">
        <f t="shared" si="4"/>
        <v>0</v>
      </c>
    </row>
    <row r="32" spans="1:7" x14ac:dyDescent="0.3">
      <c r="B32">
        <v>6</v>
      </c>
      <c r="C32">
        <v>27</v>
      </c>
      <c r="D32">
        <v>28</v>
      </c>
      <c r="E32">
        <f t="shared" si="4"/>
        <v>1</v>
      </c>
    </row>
    <row r="33" spans="2:7" x14ac:dyDescent="0.3">
      <c r="B33">
        <v>7</v>
      </c>
      <c r="C33">
        <v>33</v>
      </c>
      <c r="D33">
        <v>33</v>
      </c>
      <c r="E33">
        <f t="shared" si="4"/>
        <v>0</v>
      </c>
    </row>
    <row r="34" spans="2:7" x14ac:dyDescent="0.3">
      <c r="B34">
        <v>8</v>
      </c>
      <c r="C34">
        <v>33</v>
      </c>
      <c r="D34">
        <v>33</v>
      </c>
      <c r="E34">
        <f t="shared" si="4"/>
        <v>0</v>
      </c>
    </row>
    <row r="35" spans="2:7" x14ac:dyDescent="0.3">
      <c r="B35">
        <v>9</v>
      </c>
      <c r="C35">
        <v>32</v>
      </c>
      <c r="D35">
        <v>33</v>
      </c>
      <c r="E35">
        <f t="shared" si="4"/>
        <v>1</v>
      </c>
    </row>
    <row r="36" spans="2:7" x14ac:dyDescent="0.3">
      <c r="C36">
        <f>SUM(C26:C35)</f>
        <v>218</v>
      </c>
      <c r="D36">
        <f t="shared" ref="D36" si="5">SUM(D26:D35)</f>
        <v>214</v>
      </c>
      <c r="E36">
        <f>SUM(E26:E35)</f>
        <v>8</v>
      </c>
      <c r="G36">
        <f>C36/D36</f>
        <v>1.0186915887850467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Мотрук Олег</dc:creator>
  <cp:lastModifiedBy>Мотрук Олег</cp:lastModifiedBy>
  <dcterms:created xsi:type="dcterms:W3CDTF">2025-12-03T14:19:35Z</dcterms:created>
  <dcterms:modified xsi:type="dcterms:W3CDTF">2025-12-06T21:36:36Z</dcterms:modified>
</cp:coreProperties>
</file>